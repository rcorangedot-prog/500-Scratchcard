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 Sheet" sheetId="1" state="visible" r:id="rId3"/>
    <sheet name="Symbol Legend" sheetId="2" state="visible" r:id="rId4"/>
    <sheet name="Winning Combinations" sheetId="3" state="visible" r:id="rId5"/>
    <sheet name="Losing Combin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4" authorId="0">
      <text>
        <r>
          <rPr>
            <sz val="10"/>
            <rFont val="Arial"/>
            <family val="2"/>
          </rPr>
          <t xml:space="preserve">Winning-ticket counts per tier are illustrative design inputs (editable, blue cells) chosen to produce a decreasing prize frequency (common par-sheet design practice: higher prize = fewer winners) and an overall payout ratio near industry norms for instant games. Adjust the blue cells in column C to hit a specific target payout percentage.</t>
        </r>
      </text>
    </comment>
  </commentList>
</comments>
</file>

<file path=xl/sharedStrings.xml><?xml version="1.0" encoding="utf-8"?>
<sst xmlns="http://schemas.openxmlformats.org/spreadsheetml/2006/main" count="164" uniqueCount="89">
  <si>
    <t xml:space="preserve">PAR SHEET — 3×3 SYMBOL MATCH INSTANT GAME</t>
  </si>
  <si>
    <t xml:space="preserve">Blue = editable input   |   Black = formula (recalculates automatically)   |   Green = link from another sheet</t>
  </si>
  <si>
    <t xml:space="preserve">1. GAME PARAMETERS</t>
  </si>
  <si>
    <t xml:space="preserve">Ticket Price (units)</t>
  </si>
  <si>
    <t xml:space="preserve">Total Tickets Printed (Game Rounds)</t>
  </si>
  <si>
    <t xml:space="preserve">Grid Size</t>
  </si>
  <si>
    <t xml:space="preserve">3 × 3 (9 symbol positions per ticket)</t>
  </si>
  <si>
    <t xml:space="preserve">Number of Distinct Symbols</t>
  </si>
  <si>
    <t xml:space="preserve">Win Condition</t>
  </si>
  <si>
    <t xml:space="preserve">3 or more matching symbols anywhere among the 9 printed positions</t>
  </si>
  <si>
    <t xml:space="preserve">2. PRIZE STRUCTURE (one prize level per symbol)</t>
  </si>
  <si>
    <t xml:space="preserve">Symbol</t>
  </si>
  <si>
    <t xml:space="preserve">Prize Amount
(units)</t>
  </si>
  <si>
    <t xml:space="preserve">Winning
Tickets</t>
  </si>
  <si>
    <t xml:space="preserve">Odds of Winning
(1 in)</t>
  </si>
  <si>
    <t xml:space="preserve">Total Prize Payout
(units)</t>
  </si>
  <si>
    <t xml:space="preserve">% of Prize
Pool</t>
  </si>
  <si>
    <t xml:space="preserve">Contribution to
Payout %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</si>
  <si>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</si>
  <si>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</si>
  <si>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</si>
  <si>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</si>
  <si>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</si>
  <si>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</si>
  <si>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</si>
  <si>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</si>
  <si>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</si>
  <si>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TOTAL</t>
  </si>
  <si>
    <t xml:space="preserve">3. SUMMARY STATISTICS</t>
  </si>
  <si>
    <t xml:space="preserve">Total Winning Tickets</t>
  </si>
  <si>
    <t xml:space="preserve">Total Losing Tickets</t>
  </si>
  <si>
    <t xml:space="preserve">Overall Odds of Winning Any Prize (1 in)</t>
  </si>
  <si>
    <t xml:space="preserve">Overall Win Probability</t>
  </si>
  <si>
    <t xml:space="preserve">Overall Losing Probability</t>
  </si>
  <si>
    <t xml:space="preserve">Total Revenue (units)</t>
  </si>
  <si>
    <t xml:space="preserve">Total Prize Payout (units)</t>
  </si>
  <si>
    <t xml:space="preserve">Payout / Return to Player (RTP %)</t>
  </si>
  <si>
    <t xml:space="preserve">Net Revenue / Hold (units)</t>
  </si>
  <si>
    <t xml:space="preserve">Hold Percentage</t>
  </si>
  <si>
    <t xml:space="preserve">SYMBOL / PRIZE LEGEND</t>
  </si>
  <si>
    <t xml:space="preserve">Each of the 9 symbols used on the ticket is assigned exactly one prize level. Prize values are pulled live from the Par Sheet tab.</t>
  </si>
  <si>
    <t xml:space="preserve">Suggested Icon</t>
  </si>
  <si>
    <t xml:space="preserve">Prize Level (units)</t>
  </si>
  <si>
    <t xml:space="preserve">Rank (1 = most common)</t>
  </si>
  <si>
    <t xml:space="preserve">Odds of Winning (1 in)</t>
  </si>
  <si>
    <t xml:space="preserve">Cherry</t>
  </si>
  <si>
    <t xml:space="preserve">Bell</t>
  </si>
  <si>
    <t xml:space="preserve">Clover</t>
  </si>
  <si>
    <t xml:space="preserve">Star</t>
  </si>
  <si>
    <t xml:space="preserve">Horseshoe</t>
  </si>
  <si>
    <t xml:space="preserve">Diamond</t>
  </si>
  <si>
    <t xml:space="preserve">Crown</t>
  </si>
  <si>
    <t xml:space="preserve">Wild Card 7</t>
  </si>
  <si>
    <t xml:space="preserve">Jackpot Coin</t>
  </si>
  <si>
    <t xml:space="preserve">WINNING COMBINATIONS</t>
  </si>
  <si>
    <t xml:space="preserve">A ticket WINS when any one symbol appears in 3 or more of the 9 grid positions. The prize paid is the value assigned to the matched symbol (see Symbol Legend).</t>
  </si>
  <si>
    <t xml:space="preserve">Winning Combination</t>
  </si>
  <si>
    <t xml:space="preserve">Prize Paid (units)</t>
  </si>
  <si>
    <t xml:space="preserve">Winning Tickets
(per 1,000,000)</t>
  </si>
  <si>
    <t xml:space="preserve">Odds (1 in)</t>
  </si>
  <si>
    <t xml:space="preserve">3 (or more) ‘A’ symbols appear anywhere among the 9 grid cells</t>
  </si>
  <si>
    <t xml:space="preserve">3 (or more) ‘B’ symbols appear anywhere among the 9 grid cells</t>
  </si>
  <si>
    <t xml:space="preserve">3 (or more) ‘C’ symbols appear anywhere among the 9 grid cells</t>
  </si>
  <si>
    <t xml:space="preserve">3 (or more) ‘D’ symbols appear anywhere among the 9 grid cells</t>
  </si>
  <si>
    <t xml:space="preserve">3 (or more) ‘E’ symbols appear anywhere among the 9 grid cells</t>
  </si>
  <si>
    <t xml:space="preserve">3 (or more) ‘F’ symbols appear anywhere among the 9 grid cells</t>
  </si>
  <si>
    <t xml:space="preserve">3 (or more) ‘G’ symbols appear anywhere among the 9 grid cells</t>
  </si>
  <si>
    <t xml:space="preserve">3 (or more) ‘H’ symbols appear anywhere among the 9 grid cells</t>
  </si>
  <si>
    <t xml:space="preserve">3 (or more) ‘I’ symbols appear anywhere among the 9 grid cells</t>
  </si>
  <si>
    <t xml:space="preserve">All winning tickets</t>
  </si>
  <si>
    <t xml:space="preserve">EXAMPLE WINNING GRIDS (illustrative)</t>
  </si>
  <si>
    <t xml:space="preserve">Wins on A — $0.50</t>
  </si>
  <si>
    <t xml:space="preserve">Wins on E — $10.00</t>
  </si>
  <si>
    <t xml:space="preserve">Wins on I — $500.00 (top prize)</t>
  </si>
  <si>
    <t xml:space="preserve">Note: if 3-of-a-kind occurs for more than one symbol on the same ticket, ticket design ensures only the higher-value symbol's match is printed/paid (standard instant-game control).</t>
  </si>
  <si>
    <t xml:space="preserve">LOSING COMBINATIONS</t>
  </si>
  <si>
    <t xml:space="preserve">A ticket LOSES when no symbol appears 3 or more times among the 9 grid positions (i.e., every one of the 9 symbols occurs 0, 1, or 2 times on the ticket).</t>
  </si>
  <si>
    <t xml:space="preserve">LOSING TICKET SUMMARY</t>
  </si>
  <si>
    <t xml:space="preserve">Total Losing Tickets (per 1,000,000)</t>
  </si>
  <si>
    <t xml:space="preserve">Losing Probability</t>
  </si>
  <si>
    <t xml:space="preserve">Total Winning Tickets (for reference)</t>
  </si>
  <si>
    <t xml:space="preserve">Winning Probability (for reference)</t>
  </si>
  <si>
    <t xml:space="preserve">EXAMPLE LOSING GRIDS (illustrative)</t>
  </si>
  <si>
    <t xml:space="preserve">No 3-of-a-kind</t>
  </si>
  <si>
    <t xml:space="preserve">Two pairs only</t>
  </si>
  <si>
    <t xml:space="preserve">One near-miss pair</t>
  </si>
  <si>
    <t xml:space="preserve">Note: 'two pairs' and 'near-miss' grids above still count as losing tickets — only 3-or-more of the same symbol pays a prize.</t>
  </si>
  <si>
    <t xml:space="preserve">WHY THIS MATTERS FOR THE PAR SHEET</t>
  </si>
  <si>
    <t xml:space="preserve">The losing-ticket count is the balancing figure in the par sheet: Total Tickets (1,000,000) minus the sum of all winning tickets across the 9 prize tiers. It has no assigned symbol combination of its own — it is every 9-symbol arrangement that fails to place any single symbol in 3 or more of the 9 positions. Confirming this figure reconciles against the Prize Structure table on the Par Sheet tab.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</si>
</sst>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&quot;1 in &quot;#,##0.00"/>
    <numFmt numFmtId="168" formatCode="0.0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2"/>
    </font>
    <font>
      <sz val="10"/>
      <color rgb="FF008000"/>
      <name val="Arial"/>
      <family val="0"/>
      <charset val="1"/>
    </font>
    <font>
      <sz val="10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17"/>
    <col collapsed="false" customWidth="true" hidden="false" outlineLevel="0" max="5" min="5" style="1" width="18"/>
    <col collapsed="false" customWidth="true" hidden="false" outlineLevel="0" max="6" min="6" style="1" width="13"/>
    <col collapsed="false" customWidth="true" hidden="false" outlineLevel="0" max="7" min="7" style="1" width="17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5" customFormat="false" ht="19.5" hidden="false" customHeight="true" outlineLevel="0" collapsed="false">
      <c r="A5" s="4" t="s">
        <v>2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5" t="s">
        <v>3</v>
      </c>
      <c r="B6" s="5"/>
      <c r="C6" s="5"/>
      <c r="D6" s="6" t="n">
        <v>1</v>
      </c>
    </row>
    <row r="7" customFormat="false" ht="15" hidden="false" customHeight="true" outlineLevel="0" collapsed="false">
      <c r="A7" s="5" t="s">
        <v>4</v>
      </c>
      <c r="B7" s="5"/>
      <c r="C7" s="5"/>
      <c r="D7" s="7" t="n">
        <v>1000000</v>
      </c>
    </row>
    <row r="8" customFormat="false" ht="15" hidden="false" customHeight="true" outlineLevel="0" collapsed="false">
      <c r="A8" s="5" t="s">
        <v>5</v>
      </c>
      <c r="B8" s="5"/>
      <c r="C8" s="5"/>
      <c r="D8" s="8" t="s">
        <v>6</v>
      </c>
      <c r="E8" s="8"/>
      <c r="F8" s="8"/>
      <c r="G8" s="8"/>
    </row>
    <row r="9" customFormat="false" ht="15" hidden="false" customHeight="true" outlineLevel="0" collapsed="false">
      <c r="A9" s="5" t="s">
        <v>7</v>
      </c>
      <c r="B9" s="5"/>
      <c r="C9" s="5"/>
      <c r="D9" s="7" t="n">
        <v>9</v>
      </c>
    </row>
    <row r="10" customFormat="false" ht="15" hidden="false" customHeight="true" outlineLevel="0" collapsed="false">
      <c r="A10" s="5" t="s">
        <v>8</v>
      </c>
      <c r="B10" s="5"/>
      <c r="C10" s="5"/>
      <c r="D10" s="8" t="s">
        <v>9</v>
      </c>
      <c r="E10" s="8"/>
      <c r="F10" s="8"/>
      <c r="G10" s="8"/>
    </row>
    <row r="12" customFormat="false" ht="19.5" hidden="false" customHeight="true" outlineLevel="0" collapsed="false">
      <c r="A12" s="4" t="s">
        <v>10</v>
      </c>
      <c r="B12" s="4"/>
      <c r="C12" s="4"/>
      <c r="D12" s="4"/>
      <c r="E12" s="4"/>
      <c r="F12" s="4"/>
      <c r="G12" s="4"/>
    </row>
    <row r="13" customFormat="false" ht="30" hidden="false" customHeight="true" outlineLevel="0" collapsed="false">
      <c r="A13" s="9" t="s">
        <v>11</v>
      </c>
      <c r="B13" s="9" t="s">
        <v>12</v>
      </c>
      <c r="C13" s="9" t="s">
        <v>13</v>
      </c>
      <c r="D13" s="9" t="s">
        <v>14</v>
      </c>
      <c r="E13" s="9" t="s">
        <v>15</v>
      </c>
      <c r="F13" s="9" t="s">
        <v>16</v>
      </c>
      <c r="G13" s="9" t="s">
        <v>17</v>
      </c>
    </row>
    <row r="14" customFormat="false" ht="15" hidden="false" customHeight="true" outlineLevel="0" collapsed="false">
      <c r="A14" s="10" t="s">
        <v>18</v>
      </c>
      <c r="B14" s="6" t="n">
        <v>0.5</v>
      </c>
      <c r="C14" s="7" t="n">
        <v>150000</v>
      </c>
      <c r="D14" s="11" t="n">
        <f aca="false">D7/C14</f>
        <v>6.66666666666667</v>
      </c>
      <c r="E14" s="12" t="n">
        <f aca="false">B14*C14</f>
        <v>75000</v>
      </c>
      <c r="F14" s="13" t="n">
        <f aca="false">E14/$E$23</f>
        <v>0.1</v>
      </c>
      <c r="G14" s="13" t="n">
        <f aca="false">E14/D7</f>
        <v>0.075</v>
      </c>
    </row>
    <row r="15" customFormat="false" ht="15" hidden="false" customHeight="true" outlineLevel="0" collapsed="false">
      <c r="A15" s="10" t="s">
        <v>19</v>
      </c>
      <c r="B15" s="6" t="n">
        <v>1</v>
      </c>
      <c r="C15" s="7" t="n">
        <v>60000</v>
      </c>
      <c r="D15" s="11" t="n">
        <f aca="false">D7/C15</f>
        <v>16.6666666666667</v>
      </c>
      <c r="E15" s="12" t="n">
        <f aca="false">B15*C15</f>
        <v>60000</v>
      </c>
      <c r="F15" s="13" t="n">
        <f aca="false">E15/$E$23</f>
        <v>0.08</v>
      </c>
      <c r="G15" s="13" t="n">
        <f aca="false">E15/D7</f>
        <v>0.06</v>
      </c>
    </row>
    <row r="16" customFormat="false" ht="15" hidden="false" customHeight="true" outlineLevel="0" collapsed="false">
      <c r="A16" s="10" t="s">
        <v>20</v>
      </c>
      <c r="B16" s="6" t="n">
        <v>2</v>
      </c>
      <c r="C16" s="7" t="n">
        <v>30000</v>
      </c>
      <c r="D16" s="11" t="n">
        <f aca="false">D7/C16</f>
        <v>33.3333333333333</v>
      </c>
      <c r="E16" s="12" t="n">
        <f aca="false">B16*C16</f>
        <v>60000</v>
      </c>
      <c r="F16" s="13" t="n">
        <f aca="false">E16/$E$23</f>
        <v>0.08</v>
      </c>
      <c r="G16" s="13" t="n">
        <f aca="false">E16/D7</f>
        <v>0.06</v>
      </c>
    </row>
    <row r="17" customFormat="false" ht="15" hidden="false" customHeight="true" outlineLevel="0" collapsed="false">
      <c r="A17" s="10" t="s">
        <v>21</v>
      </c>
      <c r="B17" s="6" t="n">
        <v>5</v>
      </c>
      <c r="C17" s="7" t="n">
        <v>12000</v>
      </c>
      <c r="D17" s="11" t="n">
        <f aca="false">D7/C17</f>
        <v>83.3333333333333</v>
      </c>
      <c r="E17" s="12" t="n">
        <f aca="false">B17*C17</f>
        <v>60000</v>
      </c>
      <c r="F17" s="13" t="n">
        <f aca="false">E17/$E$23</f>
        <v>0.08</v>
      </c>
      <c r="G17" s="13" t="n">
        <f aca="false">E17/D7</f>
        <v>0.06</v>
      </c>
    </row>
    <row r="18" customFormat="false" ht="15" hidden="false" customHeight="true" outlineLevel="0" collapsed="false">
      <c r="A18" s="10" t="s">
        <v>22</v>
      </c>
      <c r="B18" s="6" t="n">
        <v>10</v>
      </c>
      <c r="C18" s="7" t="n">
        <v>6000</v>
      </c>
      <c r="D18" s="11" t="n">
        <f aca="false">D7/C18</f>
        <v>166.666666666667</v>
      </c>
      <c r="E18" s="12" t="n">
        <f aca="false">B18*C18</f>
        <v>60000</v>
      </c>
      <c r="F18" s="13" t="n">
        <f aca="false">E18/$E$23</f>
        <v>0.08</v>
      </c>
      <c r="G18" s="13" t="n">
        <f aca="false">E18/D7</f>
        <v>0.06</v>
      </c>
    </row>
    <row r="19" customFormat="false" ht="15" hidden="false" customHeight="true" outlineLevel="0" collapsed="false">
      <c r="A19" s="10" t="s">
        <v>23</v>
      </c>
      <c r="B19" s="6" t="n">
        <v>20</v>
      </c>
      <c r="C19" s="7" t="n">
        <v>4000</v>
      </c>
      <c r="D19" s="11" t="n">
        <f aca="false">D7/C19</f>
        <v>250</v>
      </c>
      <c r="E19" s="12" t="n">
        <f aca="false">B19*C19</f>
        <v>80000</v>
      </c>
      <c r="F19" s="13" t="n">
        <f aca="false">E19/$E$23</f>
        <v>0.106666666666667</v>
      </c>
      <c r="G19" s="13" t="n">
        <f aca="false">E19/D7</f>
        <v>0.08</v>
      </c>
    </row>
    <row r="20" customFormat="false" ht="15" hidden="false" customHeight="true" outlineLevel="0" collapsed="false">
      <c r="A20" s="10" t="s">
        <v>24</v>
      </c>
      <c r="B20" s="6" t="n">
        <v>50</v>
      </c>
      <c r="C20" s="7" t="n">
        <v>2000</v>
      </c>
      <c r="D20" s="11" t="n">
        <f aca="false">D7/C20</f>
        <v>500</v>
      </c>
      <c r="E20" s="12" t="n">
        <f aca="false">B20*C20</f>
        <v>100000</v>
      </c>
      <c r="F20" s="13" t="n">
        <f aca="false">E20/$E$23</f>
        <v>0.133333333333333</v>
      </c>
      <c r="G20" s="13" t="n">
        <f aca="false">E20/D7</f>
        <v>0.1</v>
      </c>
    </row>
    <row r="21" customFormat="false" ht="15" hidden="false" customHeight="true" outlineLevel="0" collapsed="false">
      <c r="A21" s="10" t="s">
        <v>25</v>
      </c>
      <c r="B21" s="6" t="n">
        <v>100</v>
      </c>
      <c r="C21" s="7" t="n">
        <v>1000</v>
      </c>
      <c r="D21" s="11" t="n">
        <f aca="false">D7/C21</f>
        <v>1000</v>
      </c>
      <c r="E21" s="12" t="n">
        <f aca="false">B21*C21</f>
        <v>100000</v>
      </c>
      <c r="F21" s="13" t="n">
        <f aca="false">E21/$E$23</f>
        <v>0.133333333333333</v>
      </c>
      <c r="G21" s="13" t="n">
        <f aca="false">E21/D7</f>
        <v>0.1</v>
      </c>
    </row>
    <row r="22" customFormat="false" ht="15" hidden="false" customHeight="true" outlineLevel="0" collapsed="false">
      <c r="A22" s="10" t="s">
        <v>26</v>
      </c>
      <c r="B22" s="6" t="n">
        <v>500</v>
      </c>
      <c r="C22" s="7" t="n">
        <v>310</v>
      </c>
      <c r="D22" s="11" t="n">
        <f aca="false">D7/C22</f>
        <v>3225.8064516129</v>
      </c>
      <c r="E22" s="12" t="n">
        <f aca="false">B22*C22</f>
        <v>155000</v>
      </c>
      <c r="F22" s="13" t="n">
        <f aca="false">E22/$E$23</f>
        <v>0.206666666666667</v>
      </c>
      <c r="G22" s="13" t="n">
        <f aca="false">E22/D7</f>
        <v>0.155</v>
      </c>
    </row>
    <row r="23" customFormat="false" ht="15" hidden="false" customHeight="true" outlineLevel="0" collapsed="false">
      <c r="A23" s="14" t="s">
        <v>27</v>
      </c>
      <c r="B23" s="15"/>
      <c r="C23" s="16" t="n">
        <f aca="false">SUM(C14:C22)</f>
        <v>265310</v>
      </c>
      <c r="D23" s="17" t="n">
        <f aca="false">D7/C23</f>
        <v>3.7691756812785</v>
      </c>
      <c r="E23" s="18" t="n">
        <f aca="false">SUM(E14:E22)</f>
        <v>750000</v>
      </c>
      <c r="F23" s="19" t="n">
        <f aca="false">SUM(F14:F22)</f>
        <v>1</v>
      </c>
      <c r="G23" s="19" t="n">
        <f aca="false">SUM(G14:G22)</f>
        <v>0.75</v>
      </c>
    </row>
    <row r="25" customFormat="false" ht="19.5" hidden="false" customHeight="true" outlineLevel="0" collapsed="false">
      <c r="A25" s="4" t="s">
        <v>28</v>
      </c>
      <c r="B25" s="4"/>
      <c r="C25" s="4"/>
      <c r="D25" s="4"/>
      <c r="E25" s="4"/>
      <c r="F25" s="4"/>
      <c r="G25" s="4"/>
    </row>
    <row r="26" customFormat="false" ht="15" hidden="false" customHeight="true" outlineLevel="0" collapsed="false">
      <c r="A26" s="5" t="s">
        <v>29</v>
      </c>
      <c r="B26" s="5"/>
      <c r="C26" s="5"/>
      <c r="D26" s="5"/>
      <c r="E26" s="20" t="n">
        <f aca="false">C23</f>
        <v>265310</v>
      </c>
      <c r="F26" s="20"/>
      <c r="G26" s="20"/>
    </row>
    <row r="27" customFormat="false" ht="15" hidden="false" customHeight="true" outlineLevel="0" collapsed="false">
      <c r="A27" s="5" t="s">
        <v>30</v>
      </c>
      <c r="B27" s="5"/>
      <c r="C27" s="5"/>
      <c r="D27" s="5"/>
      <c r="E27" s="20" t="n">
        <f aca="false">D7-C23</f>
        <v>734690</v>
      </c>
      <c r="F27" s="20"/>
      <c r="G27" s="20"/>
    </row>
    <row r="28" customFormat="false" ht="15" hidden="false" customHeight="true" outlineLevel="0" collapsed="false">
      <c r="A28" s="5" t="s">
        <v>31</v>
      </c>
      <c r="B28" s="5"/>
      <c r="C28" s="5"/>
      <c r="D28" s="5"/>
      <c r="E28" s="11" t="n">
        <f aca="false">D7/C23</f>
        <v>3.7691756812785</v>
      </c>
      <c r="F28" s="11"/>
      <c r="G28" s="11"/>
    </row>
    <row r="29" customFormat="false" ht="15" hidden="false" customHeight="true" outlineLevel="0" collapsed="false">
      <c r="A29" s="5" t="s">
        <v>32</v>
      </c>
      <c r="B29" s="5"/>
      <c r="C29" s="5"/>
      <c r="D29" s="5"/>
      <c r="E29" s="13" t="n">
        <f aca="false">C23/D7</f>
        <v>0.26531</v>
      </c>
      <c r="F29" s="13"/>
      <c r="G29" s="13"/>
    </row>
    <row r="30" customFormat="false" ht="15" hidden="false" customHeight="true" outlineLevel="0" collapsed="false">
      <c r="A30" s="5" t="s">
        <v>33</v>
      </c>
      <c r="B30" s="5"/>
      <c r="C30" s="5"/>
      <c r="D30" s="5"/>
      <c r="E30" s="13" t="n">
        <f aca="false">1-C23/D7</f>
        <v>0.73469</v>
      </c>
      <c r="F30" s="13"/>
      <c r="G30" s="13"/>
    </row>
    <row r="31" customFormat="false" ht="15" hidden="false" customHeight="true" outlineLevel="0" collapsed="false">
      <c r="A31" s="5" t="s">
        <v>34</v>
      </c>
      <c r="B31" s="5"/>
      <c r="C31" s="5"/>
      <c r="D31" s="5"/>
      <c r="E31" s="12" t="n">
        <f aca="false">D7*D6</f>
        <v>1000000</v>
      </c>
      <c r="F31" s="12"/>
      <c r="G31" s="12"/>
    </row>
    <row r="32" customFormat="false" ht="15" hidden="false" customHeight="true" outlineLevel="0" collapsed="false">
      <c r="A32" s="5" t="s">
        <v>35</v>
      </c>
      <c r="B32" s="5"/>
      <c r="C32" s="5"/>
      <c r="D32" s="5"/>
      <c r="E32" s="12" t="n">
        <f aca="false">E23</f>
        <v>750000</v>
      </c>
      <c r="F32" s="12"/>
      <c r="G32" s="12"/>
    </row>
    <row r="33" customFormat="false" ht="15" hidden="false" customHeight="true" outlineLevel="0" collapsed="false">
      <c r="A33" s="5" t="s">
        <v>36</v>
      </c>
      <c r="B33" s="5"/>
      <c r="C33" s="5"/>
      <c r="D33" s="5"/>
      <c r="E33" s="13" t="n">
        <f aca="false">E23/(D7*D6)</f>
        <v>0.75</v>
      </c>
      <c r="F33" s="13"/>
      <c r="G33" s="13"/>
    </row>
    <row r="34" customFormat="false" ht="15" hidden="false" customHeight="true" outlineLevel="0" collapsed="false">
      <c r="A34" s="5" t="s">
        <v>37</v>
      </c>
      <c r="B34" s="5"/>
      <c r="C34" s="5"/>
      <c r="D34" s="5"/>
      <c r="E34" s="12" t="n">
        <f aca="false">D7*D6-E23</f>
        <v>250000</v>
      </c>
      <c r="F34" s="12"/>
      <c r="G34" s="12"/>
    </row>
    <row r="35" customFormat="false" ht="15" hidden="false" customHeight="true" outlineLevel="0" collapsed="false">
      <c r="A35" s="5" t="s">
        <v>38</v>
      </c>
      <c r="B35" s="5"/>
      <c r="C35" s="5"/>
      <c r="D35" s="5"/>
      <c r="E35" s="13" t="n">
        <f aca="false">1-E23/(D7*D6)</f>
        <v>0.25</v>
      </c>
      <c r="F35" s="13"/>
      <c r="G35" s="13"/>
    </row>
  </sheetData>
  <mergeCells count="32">
    <mergeCell ref="A1:G2"/>
    <mergeCell ref="A3:G3"/>
    <mergeCell ref="A5:G5"/>
    <mergeCell ref="A6:C6"/>
    <mergeCell ref="A7:C7"/>
    <mergeCell ref="A8:C8"/>
    <mergeCell ref="D8:G8"/>
    <mergeCell ref="A9:C9"/>
    <mergeCell ref="A10:C10"/>
    <mergeCell ref="D10:G10"/>
    <mergeCell ref="A12:G12"/>
    <mergeCell ref="A25:G25"/>
    <mergeCell ref="A26:D26"/>
    <mergeCell ref="E26:G26"/>
    <mergeCell ref="A27:D27"/>
    <mergeCell ref="E27:G27"/>
    <mergeCell ref="A28:D28"/>
    <mergeCell ref="E28:G28"/>
    <mergeCell ref="A29:D29"/>
    <mergeCell ref="E29:G29"/>
    <mergeCell ref="A30:D30"/>
    <mergeCell ref="E30:G30"/>
    <mergeCell ref="A31:D31"/>
    <mergeCell ref="E31:G31"/>
    <mergeCell ref="A32:D32"/>
    <mergeCell ref="E32:G32"/>
    <mergeCell ref="A33:D33"/>
    <mergeCell ref="E33:G33"/>
    <mergeCell ref="A34:D34"/>
    <mergeCell ref="E34:G34"/>
    <mergeCell ref="A35:D35"/>
    <mergeCell ref="E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5" min="4" style="1" width="20"/>
  </cols>
  <sheetData>
    <row r="1" customFormat="false" ht="21.75" hidden="false" customHeight="true" outlineLevel="0" collapsed="false">
      <c r="A1" s="2" t="s">
        <v>39</v>
      </c>
      <c r="B1" s="2"/>
      <c r="C1" s="2"/>
      <c r="D1" s="2"/>
      <c r="E1" s="2"/>
    </row>
    <row r="2" customFormat="false" ht="21.75" hidden="false" customHeight="true" outlineLevel="0" collapsed="false">
      <c r="A2" s="2"/>
      <c r="B2" s="2"/>
      <c r="C2" s="2"/>
      <c r="D2" s="2"/>
      <c r="E2" s="2"/>
    </row>
    <row r="3" customFormat="false" ht="15" hidden="false" customHeight="true" outlineLevel="0" collapsed="false">
      <c r="A3" s="21" t="s">
        <v>40</v>
      </c>
      <c r="B3" s="21"/>
      <c r="C3" s="21"/>
      <c r="D3" s="21"/>
      <c r="E3" s="21"/>
    </row>
    <row r="5" customFormat="false" ht="27.75" hidden="false" customHeight="true" outlineLevel="0" collapsed="false">
      <c r="A5" s="9" t="s">
        <v>11</v>
      </c>
      <c r="B5" s="9" t="s">
        <v>41</v>
      </c>
      <c r="C5" s="9" t="s">
        <v>42</v>
      </c>
      <c r="D5" s="9" t="s">
        <v>43</v>
      </c>
      <c r="E5" s="9" t="s">
        <v>44</v>
      </c>
    </row>
    <row r="6" customFormat="false" ht="15" hidden="false" customHeight="true" outlineLevel="0" collapsed="false">
      <c r="A6" s="10" t="s">
        <v>18</v>
      </c>
      <c r="B6" s="10" t="s">
        <v>45</v>
      </c>
      <c r="C6" s="22" t="n">
        <f aca="false">'Par Sheet'!B14</f>
        <v>0.5</v>
      </c>
      <c r="D6" s="10" t="n">
        <v>1</v>
      </c>
      <c r="E6" s="23" t="n">
        <f aca="false">'Par Sheet'!D14</f>
        <v>6.66666666666667</v>
      </c>
    </row>
    <row r="7" customFormat="false" ht="15" hidden="false" customHeight="true" outlineLevel="0" collapsed="false">
      <c r="A7" s="10" t="s">
        <v>19</v>
      </c>
      <c r="B7" s="10" t="s">
        <v>46</v>
      </c>
      <c r="C7" s="22" t="n">
        <f aca="false">'Par Sheet'!B15</f>
        <v>1</v>
      </c>
      <c r="D7" s="10" t="n">
        <v>2</v>
      </c>
      <c r="E7" s="23" t="n">
        <f aca="false">'Par Sheet'!D15</f>
        <v>16.6666666666667</v>
      </c>
    </row>
    <row r="8" customFormat="false" ht="15" hidden="false" customHeight="true" outlineLevel="0" collapsed="false">
      <c r="A8" s="10" t="s">
        <v>20</v>
      </c>
      <c r="B8" s="10" t="s">
        <v>47</v>
      </c>
      <c r="C8" s="22" t="n">
        <f aca="false">'Par Sheet'!B16</f>
        <v>2</v>
      </c>
      <c r="D8" s="10" t="n">
        <v>3</v>
      </c>
      <c r="E8" s="23" t="n">
        <f aca="false">'Par Sheet'!D16</f>
        <v>33.3333333333333</v>
      </c>
    </row>
    <row r="9" customFormat="false" ht="15" hidden="false" customHeight="true" outlineLevel="0" collapsed="false">
      <c r="A9" s="10" t="s">
        <v>21</v>
      </c>
      <c r="B9" s="10" t="s">
        <v>48</v>
      </c>
      <c r="C9" s="22" t="n">
        <f aca="false">'Par Sheet'!B17</f>
        <v>5</v>
      </c>
      <c r="D9" s="10" t="n">
        <v>4</v>
      </c>
      <c r="E9" s="23" t="n">
        <f aca="false">'Par Sheet'!D17</f>
        <v>83.3333333333333</v>
      </c>
    </row>
    <row r="10" customFormat="false" ht="15" hidden="false" customHeight="true" outlineLevel="0" collapsed="false">
      <c r="A10" s="10" t="s">
        <v>22</v>
      </c>
      <c r="B10" s="10" t="s">
        <v>49</v>
      </c>
      <c r="C10" s="22" t="n">
        <f aca="false">'Par Sheet'!B18</f>
        <v>10</v>
      </c>
      <c r="D10" s="10" t="n">
        <v>5</v>
      </c>
      <c r="E10" s="23" t="n">
        <f aca="false">'Par Sheet'!D18</f>
        <v>166.666666666667</v>
      </c>
    </row>
    <row r="11" customFormat="false" ht="15" hidden="false" customHeight="true" outlineLevel="0" collapsed="false">
      <c r="A11" s="10" t="s">
        <v>23</v>
      </c>
      <c r="B11" s="10" t="s">
        <v>50</v>
      </c>
      <c r="C11" s="22" t="n">
        <f aca="false">'Par Sheet'!B19</f>
        <v>20</v>
      </c>
      <c r="D11" s="10" t="n">
        <v>6</v>
      </c>
      <c r="E11" s="23" t="n">
        <f aca="false">'Par Sheet'!D19</f>
        <v>250</v>
      </c>
    </row>
    <row r="12" customFormat="false" ht="15" hidden="false" customHeight="true" outlineLevel="0" collapsed="false">
      <c r="A12" s="10" t="s">
        <v>24</v>
      </c>
      <c r="B12" s="10" t="s">
        <v>51</v>
      </c>
      <c r="C12" s="22" t="n">
        <f aca="false">'Par Sheet'!B20</f>
        <v>50</v>
      </c>
      <c r="D12" s="10" t="n">
        <v>7</v>
      </c>
      <c r="E12" s="23" t="n">
        <f aca="false">'Par Sheet'!D20</f>
        <v>500</v>
      </c>
    </row>
    <row r="13" customFormat="false" ht="15" hidden="false" customHeight="true" outlineLevel="0" collapsed="false">
      <c r="A13" s="10" t="s">
        <v>25</v>
      </c>
      <c r="B13" s="10" t="s">
        <v>52</v>
      </c>
      <c r="C13" s="22" t="n">
        <f aca="false">'Par Sheet'!B21</f>
        <v>100</v>
      </c>
      <c r="D13" s="10" t="n">
        <v>8</v>
      </c>
      <c r="E13" s="23" t="n">
        <f aca="false">'Par Sheet'!D21</f>
        <v>1000</v>
      </c>
    </row>
    <row r="14" customFormat="false" ht="15" hidden="false" customHeight="true" outlineLevel="0" collapsed="false">
      <c r="A14" s="10" t="s">
        <v>26</v>
      </c>
      <c r="B14" s="10" t="s">
        <v>53</v>
      </c>
      <c r="C14" s="22" t="n">
        <f aca="false">'Par Sheet'!B22</f>
        <v>500</v>
      </c>
      <c r="D14" s="10" t="n">
        <v>9</v>
      </c>
      <c r="E14" s="23" t="n">
        <f aca="false">'Par Sheet'!D22</f>
        <v>3225.8064516129</v>
      </c>
    </row>
  </sheetData>
  <mergeCells count="2">
    <mergeCell ref="A1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21.75" hidden="false" customHeight="true" outlineLevel="0" collapsed="false">
      <c r="A1" s="2" t="s">
        <v>54</v>
      </c>
      <c r="B1" s="2"/>
      <c r="C1" s="2"/>
      <c r="D1" s="2"/>
      <c r="E1" s="2"/>
    </row>
    <row r="2" customFormat="false" ht="21.75" hidden="false" customHeight="true" outlineLevel="0" collapsed="false">
      <c r="A2" s="2"/>
      <c r="B2" s="2"/>
      <c r="C2" s="2"/>
      <c r="D2" s="2"/>
      <c r="E2" s="2"/>
    </row>
    <row r="3" customFormat="false" ht="27.75" hidden="false" customHeight="true" outlineLevel="0" collapsed="false">
      <c r="A3" s="24" t="s">
        <v>55</v>
      </c>
      <c r="B3" s="24"/>
      <c r="C3" s="24"/>
      <c r="D3" s="24"/>
      <c r="E3" s="24"/>
    </row>
    <row r="5" customFormat="false" ht="30" hidden="false" customHeight="true" outlineLevel="0" collapsed="false">
      <c r="A5" s="9" t="s">
        <v>11</v>
      </c>
      <c r="B5" s="9" t="s">
        <v>56</v>
      </c>
      <c r="C5" s="9" t="s">
        <v>57</v>
      </c>
      <c r="D5" s="9" t="s">
        <v>58</v>
      </c>
      <c r="E5" s="9" t="s">
        <v>59</v>
      </c>
    </row>
    <row r="6" customFormat="false" ht="23.25" hidden="false" customHeight="true" outlineLevel="0" collapsed="false">
      <c r="A6" s="25" t="s">
        <v>18</v>
      </c>
      <c r="B6" s="26" t="s">
        <v>60</v>
      </c>
      <c r="C6" s="27" t="n">
        <f aca="false">'Par Sheet'!B14</f>
        <v>0.5</v>
      </c>
      <c r="D6" s="28" t="n">
        <f aca="false">'Par Sheet'!C14</f>
        <v>150000</v>
      </c>
      <c r="E6" s="29" t="n">
        <f aca="false">'Par Sheet'!D14</f>
        <v>6.66666666666667</v>
      </c>
    </row>
    <row r="7" customFormat="false" ht="23.25" hidden="false" customHeight="true" outlineLevel="0" collapsed="false">
      <c r="A7" s="25" t="s">
        <v>19</v>
      </c>
      <c r="B7" s="26" t="s">
        <v>61</v>
      </c>
      <c r="C7" s="27" t="n">
        <f aca="false">'Par Sheet'!B15</f>
        <v>1</v>
      </c>
      <c r="D7" s="28" t="n">
        <f aca="false">'Par Sheet'!C15</f>
        <v>60000</v>
      </c>
      <c r="E7" s="29" t="n">
        <f aca="false">'Par Sheet'!D15</f>
        <v>16.6666666666667</v>
      </c>
    </row>
    <row r="8" customFormat="false" ht="23.25" hidden="false" customHeight="true" outlineLevel="0" collapsed="false">
      <c r="A8" s="25" t="s">
        <v>20</v>
      </c>
      <c r="B8" s="26" t="s">
        <v>62</v>
      </c>
      <c r="C8" s="27" t="n">
        <f aca="false">'Par Sheet'!B16</f>
        <v>2</v>
      </c>
      <c r="D8" s="28" t="n">
        <f aca="false">'Par Sheet'!C16</f>
        <v>30000</v>
      </c>
      <c r="E8" s="29" t="n">
        <f aca="false">'Par Sheet'!D16</f>
        <v>33.3333333333333</v>
      </c>
    </row>
    <row r="9" customFormat="false" ht="23.25" hidden="false" customHeight="true" outlineLevel="0" collapsed="false">
      <c r="A9" s="25" t="s">
        <v>21</v>
      </c>
      <c r="B9" s="26" t="s">
        <v>63</v>
      </c>
      <c r="C9" s="27" t="n">
        <f aca="false">'Par Sheet'!B17</f>
        <v>5</v>
      </c>
      <c r="D9" s="28" t="n">
        <f aca="false">'Par Sheet'!C17</f>
        <v>12000</v>
      </c>
      <c r="E9" s="29" t="n">
        <f aca="false">'Par Sheet'!D17</f>
        <v>83.3333333333333</v>
      </c>
    </row>
    <row r="10" customFormat="false" ht="23.25" hidden="false" customHeight="true" outlineLevel="0" collapsed="false">
      <c r="A10" s="25" t="s">
        <v>22</v>
      </c>
      <c r="B10" s="26" t="s">
        <v>64</v>
      </c>
      <c r="C10" s="27" t="n">
        <f aca="false">'Par Sheet'!B18</f>
        <v>10</v>
      </c>
      <c r="D10" s="28" t="n">
        <f aca="false">'Par Sheet'!C18</f>
        <v>6000</v>
      </c>
      <c r="E10" s="29" t="n">
        <f aca="false">'Par Sheet'!D18</f>
        <v>166.666666666667</v>
      </c>
    </row>
    <row r="11" customFormat="false" ht="23.25" hidden="false" customHeight="true" outlineLevel="0" collapsed="false">
      <c r="A11" s="25" t="s">
        <v>23</v>
      </c>
      <c r="B11" s="26" t="s">
        <v>65</v>
      </c>
      <c r="C11" s="27" t="n">
        <f aca="false">'Par Sheet'!B19</f>
        <v>20</v>
      </c>
      <c r="D11" s="28" t="n">
        <f aca="false">'Par Sheet'!C19</f>
        <v>4000</v>
      </c>
      <c r="E11" s="29" t="n">
        <f aca="false">'Par Sheet'!D19</f>
        <v>250</v>
      </c>
    </row>
    <row r="12" customFormat="false" ht="23.25" hidden="false" customHeight="true" outlineLevel="0" collapsed="false">
      <c r="A12" s="25" t="s">
        <v>24</v>
      </c>
      <c r="B12" s="26" t="s">
        <v>66</v>
      </c>
      <c r="C12" s="27" t="n">
        <f aca="false">'Par Sheet'!B20</f>
        <v>50</v>
      </c>
      <c r="D12" s="28" t="n">
        <f aca="false">'Par Sheet'!C20</f>
        <v>2000</v>
      </c>
      <c r="E12" s="29" t="n">
        <f aca="false">'Par Sheet'!D20</f>
        <v>500</v>
      </c>
    </row>
    <row r="13" customFormat="false" ht="23.25" hidden="false" customHeight="true" outlineLevel="0" collapsed="false">
      <c r="A13" s="25" t="s">
        <v>25</v>
      </c>
      <c r="B13" s="26" t="s">
        <v>67</v>
      </c>
      <c r="C13" s="27" t="n">
        <f aca="false">'Par Sheet'!B21</f>
        <v>100</v>
      </c>
      <c r="D13" s="28" t="n">
        <f aca="false">'Par Sheet'!C21</f>
        <v>1000</v>
      </c>
      <c r="E13" s="29" t="n">
        <f aca="false">'Par Sheet'!D21</f>
        <v>1000</v>
      </c>
    </row>
    <row r="14" customFormat="false" ht="23.25" hidden="false" customHeight="true" outlineLevel="0" collapsed="false">
      <c r="A14" s="25" t="s">
        <v>26</v>
      </c>
      <c r="B14" s="26" t="s">
        <v>68</v>
      </c>
      <c r="C14" s="27" t="n">
        <f aca="false">'Par Sheet'!B22</f>
        <v>500</v>
      </c>
      <c r="D14" s="28" t="n">
        <f aca="false">'Par Sheet'!C22</f>
        <v>310</v>
      </c>
      <c r="E14" s="29" t="n">
        <f aca="false">'Par Sheet'!D22</f>
        <v>3225.8064516129</v>
      </c>
    </row>
    <row r="15" customFormat="false" ht="15" hidden="false" customHeight="true" outlineLevel="0" collapsed="false">
      <c r="A15" s="30" t="s">
        <v>27</v>
      </c>
      <c r="B15" s="31" t="s">
        <v>69</v>
      </c>
      <c r="C15" s="32" t="n">
        <f aca="false">'Par Sheet'!E23</f>
        <v>750000</v>
      </c>
      <c r="D15" s="33" t="n">
        <f aca="false">'Par Sheet'!C23</f>
        <v>265310</v>
      </c>
      <c r="E15" s="34" t="n">
        <f aca="false">'Par Sheet'!D23</f>
        <v>3.7691756812785</v>
      </c>
    </row>
    <row r="17" customFormat="false" ht="19.5" hidden="false" customHeight="true" outlineLevel="0" collapsed="false">
      <c r="A17" s="4" t="s">
        <v>70</v>
      </c>
      <c r="B17" s="4"/>
      <c r="C17" s="4"/>
      <c r="D17" s="4"/>
      <c r="E17" s="4"/>
    </row>
    <row r="19" customFormat="false" ht="15" hidden="false" customHeight="true" outlineLevel="0" collapsed="false">
      <c r="A19" s="35" t="s">
        <v>71</v>
      </c>
      <c r="B19" s="35"/>
      <c r="C19" s="35"/>
      <c r="E19" s="35" t="s">
        <v>72</v>
      </c>
      <c r="F19" s="35"/>
      <c r="G19" s="35"/>
      <c r="I19" s="35" t="s">
        <v>73</v>
      </c>
      <c r="J19" s="35"/>
      <c r="K19" s="35"/>
    </row>
    <row r="20" customFormat="false" ht="18" hidden="false" customHeight="true" outlineLevel="0" collapsed="false">
      <c r="A20" s="36" t="s">
        <v>18</v>
      </c>
      <c r="B20" s="36" t="s">
        <v>19</v>
      </c>
      <c r="C20" s="36" t="s">
        <v>20</v>
      </c>
      <c r="E20" s="36" t="s">
        <v>19</v>
      </c>
      <c r="F20" s="36" t="s">
        <v>22</v>
      </c>
      <c r="G20" s="36" t="s">
        <v>20</v>
      </c>
      <c r="I20" s="36" t="s">
        <v>26</v>
      </c>
      <c r="J20" s="36" t="s">
        <v>26</v>
      </c>
      <c r="K20" s="36" t="s">
        <v>19</v>
      </c>
    </row>
    <row r="21" customFormat="false" ht="18" hidden="false" customHeight="true" outlineLevel="0" collapsed="false">
      <c r="A21" s="36" t="s">
        <v>18</v>
      </c>
      <c r="B21" s="36" t="s">
        <v>21</v>
      </c>
      <c r="C21" s="36" t="s">
        <v>22</v>
      </c>
      <c r="E21" s="36" t="s">
        <v>22</v>
      </c>
      <c r="F21" s="36" t="s">
        <v>21</v>
      </c>
      <c r="G21" s="36" t="s">
        <v>23</v>
      </c>
      <c r="I21" s="36" t="s">
        <v>20</v>
      </c>
      <c r="J21" s="36" t="s">
        <v>26</v>
      </c>
      <c r="K21" s="36" t="s">
        <v>21</v>
      </c>
    </row>
    <row r="22" customFormat="false" ht="18" hidden="false" customHeight="true" outlineLevel="0" collapsed="false">
      <c r="A22" s="36" t="s">
        <v>18</v>
      </c>
      <c r="B22" s="36" t="s">
        <v>23</v>
      </c>
      <c r="C22" s="36" t="s">
        <v>24</v>
      </c>
      <c r="E22" s="36" t="s">
        <v>24</v>
      </c>
      <c r="F22" s="36" t="s">
        <v>22</v>
      </c>
      <c r="G22" s="36" t="s">
        <v>18</v>
      </c>
      <c r="I22" s="36" t="s">
        <v>23</v>
      </c>
      <c r="J22" s="36" t="s">
        <v>24</v>
      </c>
      <c r="K22" s="36" t="s">
        <v>25</v>
      </c>
    </row>
    <row r="24" customFormat="false" ht="21.75" hidden="false" customHeight="true" outlineLevel="0" collapsed="false">
      <c r="A24" s="24" t="s">
        <v>74</v>
      </c>
      <c r="B24" s="24"/>
      <c r="C24" s="24"/>
      <c r="D24" s="24"/>
      <c r="E24" s="24"/>
    </row>
  </sheetData>
  <mergeCells count="7">
    <mergeCell ref="A1:E2"/>
    <mergeCell ref="A3:E3"/>
    <mergeCell ref="A17:E17"/>
    <mergeCell ref="A19:C19"/>
    <mergeCell ref="E19:G19"/>
    <mergeCell ref="I19:K19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6"/>
    <col collapsed="false" customWidth="true" hidden="false" outlineLevel="0" max="3" min="3" style="1" width="15"/>
    <col collapsed="false" customWidth="true" hidden="false" outlineLevel="0" max="4" min="4" style="1" width="16"/>
    <col collapsed="false" customWidth="true" hidden="false" outlineLevel="0" max="5" min="5" style="1" width="14"/>
  </cols>
  <sheetData>
    <row r="1" customFormat="false" ht="21.75" hidden="false" customHeight="true" outlineLevel="0" collapsed="false">
      <c r="A1" s="2" t="s">
        <v>75</v>
      </c>
      <c r="B1" s="2"/>
      <c r="C1" s="2"/>
      <c r="D1" s="2"/>
      <c r="E1" s="2"/>
    </row>
    <row r="2" customFormat="false" ht="21.75" hidden="false" customHeight="true" outlineLevel="0" collapsed="false">
      <c r="A2" s="2"/>
      <c r="B2" s="2"/>
      <c r="C2" s="2"/>
      <c r="D2" s="2"/>
      <c r="E2" s="2"/>
    </row>
    <row r="3" customFormat="false" ht="27.75" hidden="false" customHeight="true" outlineLevel="0" collapsed="false">
      <c r="A3" s="24" t="s">
        <v>76</v>
      </c>
      <c r="B3" s="24"/>
      <c r="C3" s="24"/>
      <c r="D3" s="24"/>
      <c r="E3" s="24"/>
    </row>
    <row r="5" customFormat="false" ht="19.5" hidden="false" customHeight="true" outlineLevel="0" collapsed="false">
      <c r="A5" s="4" t="s">
        <v>77</v>
      </c>
      <c r="B5" s="4"/>
      <c r="C5" s="4"/>
      <c r="D5" s="4"/>
      <c r="E5" s="4"/>
    </row>
    <row r="6" customFormat="false" ht="15" hidden="false" customHeight="true" outlineLevel="0" collapsed="false">
      <c r="A6" s="5" t="s">
        <v>78</v>
      </c>
      <c r="B6" s="5"/>
      <c r="C6" s="5"/>
      <c r="D6" s="37" t="n">
        <f aca="false">'Par Sheet'!E27</f>
        <v>734690</v>
      </c>
      <c r="E6" s="37"/>
    </row>
    <row r="7" customFormat="false" ht="15" hidden="false" customHeight="true" outlineLevel="0" collapsed="false">
      <c r="A7" s="5" t="s">
        <v>79</v>
      </c>
      <c r="B7" s="5"/>
      <c r="C7" s="5"/>
      <c r="D7" s="38" t="n">
        <f aca="false">'Par Sheet'!E30</f>
        <v>0.73469</v>
      </c>
      <c r="E7" s="38"/>
    </row>
    <row r="8" customFormat="false" ht="15" hidden="false" customHeight="true" outlineLevel="0" collapsed="false">
      <c r="A8" s="5" t="s">
        <v>80</v>
      </c>
      <c r="B8" s="5"/>
      <c r="C8" s="5"/>
      <c r="D8" s="37" t="n">
        <f aca="false">'Par Sheet'!E26</f>
        <v>265310</v>
      </c>
      <c r="E8" s="37"/>
    </row>
    <row r="9" customFormat="false" ht="15" hidden="false" customHeight="true" outlineLevel="0" collapsed="false">
      <c r="A9" s="5" t="s">
        <v>81</v>
      </c>
      <c r="B9" s="5"/>
      <c r="C9" s="5"/>
      <c r="D9" s="38" t="n">
        <f aca="false">'Par Sheet'!E29</f>
        <v>0.26531</v>
      </c>
      <c r="E9" s="38"/>
    </row>
    <row r="11" customFormat="false" ht="19.5" hidden="false" customHeight="true" outlineLevel="0" collapsed="false">
      <c r="A11" s="4" t="s">
        <v>82</v>
      </c>
      <c r="B11" s="4"/>
      <c r="C11" s="4"/>
      <c r="D11" s="4"/>
      <c r="E11" s="4"/>
    </row>
    <row r="13" customFormat="false" ht="15" hidden="false" customHeight="true" outlineLevel="0" collapsed="false">
      <c r="A13" s="35" t="s">
        <v>83</v>
      </c>
      <c r="B13" s="35"/>
      <c r="C13" s="35"/>
      <c r="E13" s="35" t="s">
        <v>84</v>
      </c>
      <c r="F13" s="35"/>
      <c r="G13" s="35"/>
      <c r="I13" s="35" t="s">
        <v>85</v>
      </c>
      <c r="J13" s="35"/>
      <c r="K13" s="35"/>
    </row>
    <row r="14" customFormat="false" ht="18" hidden="false" customHeight="true" outlineLevel="0" collapsed="false">
      <c r="A14" s="39" t="s">
        <v>18</v>
      </c>
      <c r="B14" s="39" t="s">
        <v>19</v>
      </c>
      <c r="C14" s="39" t="s">
        <v>20</v>
      </c>
      <c r="E14" s="39" t="s">
        <v>18</v>
      </c>
      <c r="F14" s="39" t="s">
        <v>18</v>
      </c>
      <c r="G14" s="39" t="s">
        <v>19</v>
      </c>
      <c r="I14" s="39" t="s">
        <v>20</v>
      </c>
      <c r="J14" s="39" t="s">
        <v>20</v>
      </c>
      <c r="K14" s="39" t="s">
        <v>18</v>
      </c>
    </row>
    <row r="15" customFormat="false" ht="18" hidden="false" customHeight="true" outlineLevel="0" collapsed="false">
      <c r="A15" s="39" t="s">
        <v>21</v>
      </c>
      <c r="B15" s="39" t="s">
        <v>22</v>
      </c>
      <c r="C15" s="39" t="s">
        <v>23</v>
      </c>
      <c r="E15" s="39" t="s">
        <v>19</v>
      </c>
      <c r="F15" s="39" t="s">
        <v>20</v>
      </c>
      <c r="G15" s="39" t="s">
        <v>21</v>
      </c>
      <c r="I15" s="39" t="s">
        <v>21</v>
      </c>
      <c r="J15" s="39" t="s">
        <v>22</v>
      </c>
      <c r="K15" s="39" t="s">
        <v>23</v>
      </c>
    </row>
    <row r="16" customFormat="false" ht="18" hidden="false" customHeight="true" outlineLevel="0" collapsed="false">
      <c r="A16" s="39" t="s">
        <v>24</v>
      </c>
      <c r="B16" s="39" t="s">
        <v>25</v>
      </c>
      <c r="C16" s="39" t="s">
        <v>26</v>
      </c>
      <c r="E16" s="39" t="s">
        <v>22</v>
      </c>
      <c r="F16" s="39" t="s">
        <v>23</v>
      </c>
      <c r="G16" s="39" t="s">
        <v>24</v>
      </c>
      <c r="I16" s="39" t="s">
        <v>19</v>
      </c>
      <c r="J16" s="39" t="s">
        <v>24</v>
      </c>
      <c r="K16" s="39" t="s">
        <v>25</v>
      </c>
    </row>
    <row r="18" customFormat="false" ht="15" hidden="false" customHeight="true" outlineLevel="0" collapsed="false">
      <c r="A18" s="24" t="s">
        <v>86</v>
      </c>
      <c r="B18" s="24"/>
      <c r="C18" s="24"/>
      <c r="D18" s="24"/>
      <c r="E18" s="24"/>
    </row>
    <row r="20" customFormat="false" ht="19.5" hidden="false" customHeight="true" outlineLevel="0" collapsed="false">
      <c r="A20" s="4" t="s">
        <v>87</v>
      </c>
      <c r="B20" s="4"/>
      <c r="C20" s="4"/>
      <c r="D20" s="4"/>
      <c r="E20" s="4"/>
    </row>
    <row r="21" customFormat="false" ht="15" hidden="false" customHeight="true" outlineLevel="0" collapsed="false">
      <c r="A21" s="40" t="s">
        <v>88</v>
      </c>
      <c r="B21" s="40"/>
      <c r="C21" s="40"/>
      <c r="D21" s="40"/>
      <c r="E21" s="40"/>
    </row>
    <row r="22" customFormat="false" ht="15" hidden="false" customHeight="true" outlineLevel="0" collapsed="false">
      <c r="A22" s="40"/>
      <c r="B22" s="40"/>
      <c r="C22" s="40"/>
      <c r="D22" s="40"/>
      <c r="E22" s="40"/>
    </row>
    <row r="23" customFormat="false" ht="15" hidden="false" customHeight="true" outlineLevel="0" collapsed="false">
      <c r="A23" s="40"/>
      <c r="B23" s="40"/>
      <c r="C23" s="40"/>
      <c r="D23" s="40"/>
      <c r="E23" s="40"/>
    </row>
    <row r="24" customFormat="false" ht="15" hidden="false" customHeight="true" outlineLevel="0" collapsed="false">
      <c r="A24" s="40"/>
      <c r="B24" s="40"/>
      <c r="C24" s="40"/>
      <c r="D24" s="40"/>
      <c r="E24" s="40"/>
    </row>
  </sheetData>
  <mergeCells count="18">
    <mergeCell ref="A1:E2"/>
    <mergeCell ref="A3:E3"/>
    <mergeCell ref="A5:E5"/>
    <mergeCell ref="A6:C6"/>
    <mergeCell ref="D6:E6"/>
    <mergeCell ref="A7:C7"/>
    <mergeCell ref="D7:E7"/>
    <mergeCell ref="A8:C8"/>
    <mergeCell ref="D8:E8"/>
    <mergeCell ref="A9:C9"/>
    <mergeCell ref="D9:E9"/>
    <mergeCell ref="A11:E11"/>
    <mergeCell ref="A13:C13"/>
    <mergeCell ref="E13:G13"/>
    <mergeCell ref="I13:K13"/>
    <mergeCell ref="A18:E18"/>
    <mergeCell ref="A20:E20"/>
    <mergeCell ref="A21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2026-08-19T20:09:41Z</dcterms:created>
  <dc:creator>openpyxl</dc:creator>
  <dc:description/>
  <dc:language>en-US</dc:language>
  <cp:lastModifiedBy/>
  <dcterms:modified xsi:type="dcterms:W3CDTF">2026-08-19T20:19:22Z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